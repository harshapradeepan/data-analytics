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9" sheetId="2" r:id="rId6"/>
    <sheet state="visible" name="Pivot Table 8" sheetId="3" r:id="rId7"/>
    <sheet state="visible" name="Pivot Table 7" sheetId="4" r:id="rId8"/>
    <sheet state="visible" name="Pivot Table 6" sheetId="5" r:id="rId9"/>
    <sheet state="visible" name="Pivot Table 5" sheetId="6" r:id="rId10"/>
    <sheet state="visible" name="Pivot Table 4" sheetId="7" r:id="rId11"/>
    <sheet state="visible" name="Pivot Table 3" sheetId="8" r:id="rId12"/>
    <sheet state="visible" name="Pivot Table 2" sheetId="9" r:id="rId13"/>
    <sheet state="visible" name="Pivot Table 1" sheetId="10" r:id="rId14"/>
    <sheet state="visible" name="Sheet2" sheetId="11" r:id="rId15"/>
  </sheets>
  <definedNames>
    <definedName hidden="1" localSheetId="0" name="Z_06C32DF7_E4A8_405A_B777_25192821B48F_.wvu.FilterData">Sheet1!$A$1:$I$44</definedName>
    <definedName name="SlicerCache_Table_1_Col_5">#N/A</definedName>
  </definedNames>
  <calcPr/>
  <customWorkbookViews>
    <customWorkbookView activeSheetId="0" maximized="1" windowHeight="0" windowWidth="0" guid="{06C32DF7-E4A8-405A-B777-25192821B48F}" name="Filter 1"/>
  </customWorkbookViews>
  <pivotCaches>
    <pivotCache cacheId="0" r:id="rId16"/>
  </pivotCaches>
  <extLst>
    <ext uri="{46BE6895-7355-4a93-B00E-2C351335B9C9}">
      <x15:slicerCaches>
        <x14:slicerCache r:id="rId17"/>
      </x15:slicerCaches>
    </ext>
  </extLst>
</workbook>
</file>

<file path=xl/sharedStrings.xml><?xml version="1.0" encoding="utf-8"?>
<sst xmlns="http://schemas.openxmlformats.org/spreadsheetml/2006/main" count="325" uniqueCount="104">
  <si>
    <t>Product</t>
  </si>
  <si>
    <t>AVERAGE of Unit Price</t>
  </si>
  <si>
    <t>MAX of Unit Price</t>
  </si>
  <si>
    <t>Keyboard</t>
  </si>
  <si>
    <t>Laptop</t>
  </si>
  <si>
    <t>Monitor</t>
  </si>
  <si>
    <t xml:space="preserve"> Employee ID</t>
  </si>
  <si>
    <t>Phone</t>
  </si>
  <si>
    <t>Tablet</t>
  </si>
  <si>
    <t>Name</t>
  </si>
  <si>
    <t>Grand Total</t>
  </si>
  <si>
    <t>Department</t>
  </si>
  <si>
    <t>Region</t>
  </si>
  <si>
    <t>Units Sold</t>
  </si>
  <si>
    <t>Unit Price</t>
  </si>
  <si>
    <t>Date of Sale</t>
  </si>
  <si>
    <t>Total Sale</t>
  </si>
  <si>
    <t>E1000</t>
  </si>
  <si>
    <t>Grace</t>
  </si>
  <si>
    <t>Finance</t>
  </si>
  <si>
    <t>West</t>
  </si>
  <si>
    <t>E1001</t>
  </si>
  <si>
    <t>South</t>
  </si>
  <si>
    <t>E1002</t>
  </si>
  <si>
    <t>Frank</t>
  </si>
  <si>
    <t>Sales</t>
  </si>
  <si>
    <t>E1003</t>
  </si>
  <si>
    <t>David</t>
  </si>
  <si>
    <t>North</t>
  </si>
  <si>
    <t>E1004</t>
  </si>
  <si>
    <t>E1005</t>
  </si>
  <si>
    <t>Alice</t>
  </si>
  <si>
    <t>HR</t>
  </si>
  <si>
    <t>E1006</t>
  </si>
  <si>
    <t>E1007</t>
  </si>
  <si>
    <t>E1008</t>
  </si>
  <si>
    <t>Jack</t>
  </si>
  <si>
    <t>East</t>
  </si>
  <si>
    <t>E1009</t>
  </si>
  <si>
    <t>Marketing</t>
  </si>
  <si>
    <t>E1010</t>
  </si>
  <si>
    <t>Hannah</t>
  </si>
  <si>
    <t>IT</t>
  </si>
  <si>
    <t>E1011</t>
  </si>
  <si>
    <t>E1012</t>
  </si>
  <si>
    <t>Ivy</t>
  </si>
  <si>
    <t>E1013</t>
  </si>
  <si>
    <t>Eve</t>
  </si>
  <si>
    <t>E1014</t>
  </si>
  <si>
    <t>E1015</t>
  </si>
  <si>
    <t>E1016</t>
  </si>
  <si>
    <t>E1017</t>
  </si>
  <si>
    <t>E1018</t>
  </si>
  <si>
    <t>E1019</t>
  </si>
  <si>
    <t>E1020</t>
  </si>
  <si>
    <t>Bob</t>
  </si>
  <si>
    <t>E1021</t>
  </si>
  <si>
    <t>E1022</t>
  </si>
  <si>
    <t>E1023</t>
  </si>
  <si>
    <t>E1024</t>
  </si>
  <si>
    <t>E1025</t>
  </si>
  <si>
    <t>Charlie</t>
  </si>
  <si>
    <t>E1026</t>
  </si>
  <si>
    <t>E1027</t>
  </si>
  <si>
    <t>E1028</t>
  </si>
  <si>
    <t>E1029</t>
  </si>
  <si>
    <t>E1030</t>
  </si>
  <si>
    <t>E1038</t>
  </si>
  <si>
    <t>E1039</t>
  </si>
  <si>
    <t>E1040</t>
  </si>
  <si>
    <t>E1041</t>
  </si>
  <si>
    <t>E1042</t>
  </si>
  <si>
    <t>E1043</t>
  </si>
  <si>
    <t>E1044</t>
  </si>
  <si>
    <t>E1045</t>
  </si>
  <si>
    <t>E1046</t>
  </si>
  <si>
    <t>E1047</t>
  </si>
  <si>
    <t>E1048</t>
  </si>
  <si>
    <t>E1049</t>
  </si>
  <si>
    <t>SUM of Total Sale</t>
  </si>
  <si>
    <t>COUNT of Total Sale</t>
  </si>
  <si>
    <t>SUM of Units Sold</t>
  </si>
  <si>
    <t>Lookup Function Questions</t>
  </si>
  <si>
    <t>1. VLOOKUP Dept by Emp ID</t>
  </si>
  <si>
    <t>2. HLOOKUP Product Header</t>
  </si>
  <si>
    <t>3. XLOOKUP Region by Product</t>
  </si>
  <si>
    <t>4. VLOOKUP Unit Price</t>
  </si>
  <si>
    <t>5. INDEX+MATCH Unit Price</t>
  </si>
  <si>
    <t>6. XLOOKUP Total Sale by Emp</t>
  </si>
  <si>
    <t>7. XLOOKUP Units Sold by Product</t>
  </si>
  <si>
    <t>8. LOOKUP Last Name</t>
  </si>
  <si>
    <t>9. FILTER Units &gt; 90</t>
  </si>
  <si>
    <t>10. CHOOSE Example</t>
  </si>
  <si>
    <t>Pivot Table Questions</t>
  </si>
  <si>
    <t>1. Total Sales by Department</t>
  </si>
  <si>
    <t>2. Average Unit Price by Region</t>
  </si>
  <si>
    <t>3. Units Sold by Product (Chart)</t>
  </si>
  <si>
    <t>4. Sales Count by Region</t>
  </si>
  <si>
    <t>5. Sales by Employee</t>
  </si>
  <si>
    <t>6. Monthly Sales Grouped by Date</t>
  </si>
  <si>
    <t>7. Chart for Department Sales Over Time</t>
  </si>
  <si>
    <t>8. Slicer for Region</t>
  </si>
  <si>
    <t>9. Avg &amp; Max Unit Price per Product</t>
  </si>
  <si>
    <t>10. Region-wise Product Sales Chart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</si>
</sst>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color theme="1"/>
      <name val="Arial"/>
      <scheme val="minor"/>
    </font>
    <font>
      <b/>
      <sz val="11.0"/>
      <color rgb="FF000000"/>
      <name val="Calibri"/>
    </font>
    <font>
      <sz val="11.0"/>
      <color rgb="FF000000"/>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shrinkToFit="0" vertical="top"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1" numFmtId="164" xfId="0" applyFont="1" applyNumberFormat="1"/>
    <xf borderId="0" fillId="0" fontId="4" numFmtId="0" xfId="0" applyAlignment="1" applyFont="1">
      <alignment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microsoft.com/office/2007/relationships/slicerCache" Target="slicerCaches/slicerCache1.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Product, Keyboard, Laptop, Monitor, Phone…</a:t>
            </a:r>
          </a:p>
        </c:rich>
      </c:tx>
      <c:overlay val="0"/>
    </c:title>
    <c:plotArea>
      <c:layout/>
      <c:barChart>
        <c:barDir val="col"/>
        <c:grouping val="stacked"/>
        <c:ser>
          <c:idx val="0"/>
          <c:order val="0"/>
          <c:tx>
            <c:strRef>
              <c:f>'Pivot Table 9'!$B$1:$B$2</c:f>
            </c:strRef>
          </c:tx>
          <c:spPr>
            <a:solidFill>
              <a:schemeClr val="accent1"/>
            </a:solidFill>
            <a:ln cmpd="sng">
              <a:noFill/>
            </a:ln>
          </c:spPr>
          <c:cat>
            <c:strRef>
              <c:f>'Pivot Table 9'!$A$3:$A$7</c:f>
            </c:strRef>
          </c:cat>
          <c:val>
            <c:numRef>
              <c:f>'Pivot Table 9'!$B$3:$B$7</c:f>
              <c:numCache/>
            </c:numRef>
          </c:val>
        </c:ser>
        <c:ser>
          <c:idx val="1"/>
          <c:order val="1"/>
          <c:tx>
            <c:strRef>
              <c:f>'Pivot Table 9'!$C$1:$C$2</c:f>
            </c:strRef>
          </c:tx>
          <c:spPr>
            <a:solidFill>
              <a:schemeClr val="accent2"/>
            </a:solidFill>
            <a:ln cmpd="sng">
              <a:noFill/>
            </a:ln>
          </c:spPr>
          <c:cat>
            <c:strRef>
              <c:f>'Pivot Table 9'!$A$3:$A$7</c:f>
            </c:strRef>
          </c:cat>
          <c:val>
            <c:numRef>
              <c:f>'Pivot Table 9'!$C$3:$C$7</c:f>
              <c:numCache/>
            </c:numRef>
          </c:val>
        </c:ser>
        <c:ser>
          <c:idx val="2"/>
          <c:order val="2"/>
          <c:tx>
            <c:strRef>
              <c:f>'Pivot Table 9'!$D$1:$D$2</c:f>
            </c:strRef>
          </c:tx>
          <c:spPr>
            <a:solidFill>
              <a:schemeClr val="accent3"/>
            </a:solidFill>
            <a:ln cmpd="sng">
              <a:noFill/>
            </a:ln>
          </c:spPr>
          <c:cat>
            <c:strRef>
              <c:f>'Pivot Table 9'!$A$3:$A$7</c:f>
            </c:strRef>
          </c:cat>
          <c:val>
            <c:numRef>
              <c:f>'Pivot Table 9'!$D$3:$D$7</c:f>
              <c:numCache/>
            </c:numRef>
          </c:val>
        </c:ser>
        <c:ser>
          <c:idx val="3"/>
          <c:order val="3"/>
          <c:tx>
            <c:strRef>
              <c:f>'Pivot Table 9'!$E$1:$E$2</c:f>
            </c:strRef>
          </c:tx>
          <c:spPr>
            <a:solidFill>
              <a:schemeClr val="accent4"/>
            </a:solidFill>
            <a:ln cmpd="sng">
              <a:noFill/>
            </a:ln>
          </c:spPr>
          <c:cat>
            <c:strRef>
              <c:f>'Pivot Table 9'!$A$3:$A$7</c:f>
            </c:strRef>
          </c:cat>
          <c:val>
            <c:numRef>
              <c:f>'Pivot Table 9'!$E$3:$E$7</c:f>
              <c:numCache/>
            </c:numRef>
          </c:val>
        </c:ser>
        <c:ser>
          <c:idx val="4"/>
          <c:order val="4"/>
          <c:tx>
            <c:strRef>
              <c:f>'Pivot Table 9'!$F$1:$F$2</c:f>
            </c:strRef>
          </c:tx>
          <c:spPr>
            <a:solidFill>
              <a:schemeClr val="accent5"/>
            </a:solidFill>
            <a:ln cmpd="sng">
              <a:noFill/>
            </a:ln>
          </c:spPr>
          <c:cat>
            <c:strRef>
              <c:f>'Pivot Table 9'!$A$3:$A$7</c:f>
            </c:strRef>
          </c:cat>
          <c:val>
            <c:numRef>
              <c:f>'Pivot Table 9'!$F$3:$F$7</c:f>
              <c:numCache/>
            </c:numRef>
          </c:val>
        </c:ser>
        <c:ser>
          <c:idx val="5"/>
          <c:order val="5"/>
          <c:tx>
            <c:strRef>
              <c:f>'Pivot Table 9'!$G$1:$G$2</c:f>
            </c:strRef>
          </c:tx>
          <c:spPr>
            <a:solidFill>
              <a:schemeClr val="accent6"/>
            </a:solidFill>
            <a:ln cmpd="sng">
              <a:noFill/>
            </a:ln>
          </c:spPr>
          <c:cat>
            <c:strRef>
              <c:f>'Pivot Table 9'!$A$3:$A$7</c:f>
            </c:strRef>
          </c:cat>
          <c:val>
            <c:numRef>
              <c:f>'Pivot Table 9'!$G$3:$G$7</c:f>
              <c:numCache/>
            </c:numRef>
          </c:val>
        </c:ser>
        <c:overlap val="100"/>
        <c:axId val="287784036"/>
        <c:axId val="712084060"/>
      </c:barChart>
      <c:catAx>
        <c:axId val="2877840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2084060"/>
      </c:catAx>
      <c:valAx>
        <c:axId val="712084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778403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Department, Finance, HR, IT, Marketing…</a:t>
            </a:r>
          </a:p>
        </c:rich>
      </c:tx>
      <c:overlay val="0"/>
    </c:title>
    <c:plotArea>
      <c:layout/>
      <c:lineChart>
        <c:ser>
          <c:idx val="0"/>
          <c:order val="0"/>
          <c:tx>
            <c:strRef>
              <c:f>'Pivot Table 7'!$B$1:$B$2</c:f>
            </c:strRef>
          </c:tx>
          <c:spPr>
            <a:ln cmpd="sng">
              <a:solidFill>
                <a:srgbClr val="4285F4"/>
              </a:solidFill>
            </a:ln>
          </c:spPr>
          <c:marker>
            <c:symbol val="none"/>
          </c:marker>
          <c:cat>
            <c:strRef>
              <c:f>'Pivot Table 7'!$A$3:$A$46</c:f>
            </c:strRef>
          </c:cat>
          <c:val>
            <c:numRef>
              <c:f>'Pivot Table 7'!$B$3:$B$46</c:f>
              <c:numCache/>
            </c:numRef>
          </c:val>
          <c:smooth val="0"/>
        </c:ser>
        <c:ser>
          <c:idx val="1"/>
          <c:order val="1"/>
          <c:tx>
            <c:strRef>
              <c:f>'Pivot Table 7'!$C$1:$C$2</c:f>
            </c:strRef>
          </c:tx>
          <c:spPr>
            <a:ln cmpd="sng">
              <a:solidFill>
                <a:srgbClr val="EA4335"/>
              </a:solidFill>
            </a:ln>
          </c:spPr>
          <c:marker>
            <c:symbol val="none"/>
          </c:marker>
          <c:cat>
            <c:strRef>
              <c:f>'Pivot Table 7'!$A$3:$A$46</c:f>
            </c:strRef>
          </c:cat>
          <c:val>
            <c:numRef>
              <c:f>'Pivot Table 7'!$C$3:$C$46</c:f>
              <c:numCache/>
            </c:numRef>
          </c:val>
          <c:smooth val="0"/>
        </c:ser>
        <c:ser>
          <c:idx val="2"/>
          <c:order val="2"/>
          <c:tx>
            <c:strRef>
              <c:f>'Pivot Table 7'!$D$1:$D$2</c:f>
            </c:strRef>
          </c:tx>
          <c:spPr>
            <a:ln cmpd="sng">
              <a:solidFill>
                <a:srgbClr val="FBBC04"/>
              </a:solidFill>
            </a:ln>
          </c:spPr>
          <c:marker>
            <c:symbol val="none"/>
          </c:marker>
          <c:cat>
            <c:strRef>
              <c:f>'Pivot Table 7'!$A$3:$A$46</c:f>
            </c:strRef>
          </c:cat>
          <c:val>
            <c:numRef>
              <c:f>'Pivot Table 7'!$D$3:$D$46</c:f>
              <c:numCache/>
            </c:numRef>
          </c:val>
          <c:smooth val="0"/>
        </c:ser>
        <c:ser>
          <c:idx val="3"/>
          <c:order val="3"/>
          <c:tx>
            <c:strRef>
              <c:f>'Pivot Table 7'!$E$1:$E$2</c:f>
            </c:strRef>
          </c:tx>
          <c:spPr>
            <a:ln cmpd="sng">
              <a:solidFill>
                <a:srgbClr val="34A853"/>
              </a:solidFill>
            </a:ln>
          </c:spPr>
          <c:marker>
            <c:symbol val="none"/>
          </c:marker>
          <c:cat>
            <c:strRef>
              <c:f>'Pivot Table 7'!$A$3:$A$46</c:f>
            </c:strRef>
          </c:cat>
          <c:val>
            <c:numRef>
              <c:f>'Pivot Table 7'!$E$3:$E$46</c:f>
              <c:numCache/>
            </c:numRef>
          </c:val>
          <c:smooth val="0"/>
        </c:ser>
        <c:ser>
          <c:idx val="4"/>
          <c:order val="4"/>
          <c:tx>
            <c:strRef>
              <c:f>'Pivot Table 7'!$F$1:$F$2</c:f>
            </c:strRef>
          </c:tx>
          <c:spPr>
            <a:ln cmpd="sng">
              <a:solidFill>
                <a:srgbClr val="FF6D01"/>
              </a:solidFill>
            </a:ln>
          </c:spPr>
          <c:marker>
            <c:symbol val="none"/>
          </c:marker>
          <c:cat>
            <c:strRef>
              <c:f>'Pivot Table 7'!$A$3:$A$46</c:f>
            </c:strRef>
          </c:cat>
          <c:val>
            <c:numRef>
              <c:f>'Pivot Table 7'!$F$3:$F$46</c:f>
              <c:numCache/>
            </c:numRef>
          </c:val>
          <c:smooth val="0"/>
        </c:ser>
        <c:ser>
          <c:idx val="5"/>
          <c:order val="5"/>
          <c:tx>
            <c:strRef>
              <c:f>'Pivot Table 7'!$G$1:$G$2</c:f>
            </c:strRef>
          </c:tx>
          <c:spPr>
            <a:ln cmpd="sng">
              <a:solidFill>
                <a:srgbClr val="46BDC6"/>
              </a:solidFill>
            </a:ln>
          </c:spPr>
          <c:marker>
            <c:symbol val="none"/>
          </c:marker>
          <c:cat>
            <c:strRef>
              <c:f>'Pivot Table 7'!$A$3:$A$46</c:f>
            </c:strRef>
          </c:cat>
          <c:val>
            <c:numRef>
              <c:f>'Pivot Table 7'!$G$3:$G$46</c:f>
              <c:numCache/>
            </c:numRef>
          </c:val>
          <c:smooth val="0"/>
        </c:ser>
        <c:ser>
          <c:idx val="6"/>
          <c:order val="6"/>
          <c:tx>
            <c:strRef>
              <c:f>'Pivot Table 7'!$H$1:$H$2</c:f>
            </c:strRef>
          </c:tx>
          <c:spPr>
            <a:ln cmpd="sng">
              <a:solidFill>
                <a:srgbClr val="7BAAF7"/>
              </a:solidFill>
            </a:ln>
          </c:spPr>
          <c:marker>
            <c:symbol val="none"/>
          </c:marker>
          <c:cat>
            <c:strRef>
              <c:f>'Pivot Table 7'!$A$3:$A$46</c:f>
            </c:strRef>
          </c:cat>
          <c:val>
            <c:numRef>
              <c:f>'Pivot Table 7'!$H$3:$H$46</c:f>
              <c:numCache/>
            </c:numRef>
          </c:val>
          <c:smooth val="0"/>
        </c:ser>
        <c:axId val="1424509361"/>
        <c:axId val="19636733"/>
      </c:lineChart>
      <c:catAx>
        <c:axId val="14245093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of Sale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36733"/>
      </c:catAx>
      <c:valAx>
        <c:axId val="19636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450936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Units Sold vs Product</a:t>
            </a:r>
          </a:p>
        </c:rich>
      </c:tx>
      <c:overlay val="0"/>
    </c:title>
    <c:plotArea>
      <c:layout/>
      <c:barChart>
        <c:barDir val="col"/>
        <c:ser>
          <c:idx val="0"/>
          <c:order val="0"/>
          <c:tx>
            <c:strRef>
              <c:f>'Pivot Table 3'!$B$1</c:f>
            </c:strRef>
          </c:tx>
          <c:spPr>
            <a:solidFill>
              <a:schemeClr val="accent1"/>
            </a:solidFill>
            <a:ln cmpd="sng">
              <a:noFill/>
            </a:ln>
          </c:spPr>
          <c:cat>
            <c:strRef>
              <c:f>'Pivot Table 3'!$A$2:$A$8</c:f>
            </c:strRef>
          </c:cat>
          <c:val>
            <c:numRef>
              <c:f>'Pivot Table 3'!$B$2:$B$8</c:f>
              <c:numCache/>
            </c:numRef>
          </c:val>
        </c:ser>
        <c:axId val="1707354297"/>
        <c:axId val="1507717342"/>
      </c:barChart>
      <c:catAx>
        <c:axId val="17073542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7717342"/>
      </c:catAx>
      <c:valAx>
        <c:axId val="15077173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Units Sold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73542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Units Sold by Product</a:t>
            </a:r>
          </a:p>
        </c:rich>
      </c:tx>
      <c:overlay val="0"/>
    </c:title>
    <c:plotArea>
      <c:layout/>
      <c:barChart>
        <c:barDir val="col"/>
        <c:ser>
          <c:idx val="0"/>
          <c:order val="0"/>
          <c:tx>
            <c:strRef>
              <c:f>Sheet2!$B$52</c:f>
            </c:strRef>
          </c:tx>
          <c:val>
            <c:numRef>
              <c:f>Sheet2!$B$53:$B$57</c:f>
              <c:numCache/>
            </c:numRef>
          </c:val>
        </c:ser>
        <c:ser>
          <c:idx val="1"/>
          <c:order val="1"/>
          <c:tx>
            <c:strRef>
              <c:f>Sheet2!$C$52</c:f>
            </c:strRef>
          </c:tx>
          <c:val>
            <c:numRef>
              <c:f>Sheet2!$C$53:$C$57</c:f>
              <c:numCache/>
            </c:numRef>
          </c:val>
        </c:ser>
        <c:axId val="133849489"/>
        <c:axId val="1875603137"/>
      </c:barChart>
      <c:catAx>
        <c:axId val="1338494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5603137"/>
      </c:catAx>
      <c:valAx>
        <c:axId val="1875603137"/>
        <c:scaling>
          <c:orientation val="minMax"/>
        </c:scaling>
        <c:delete val="0"/>
        <c:axPos val="l"/>
        <c:tickLblPos val="nextTo"/>
        <c:spPr>
          <a:ln>
            <a:noFill/>
          </a:ln>
        </c:spPr>
        <c:crossAx val="133849489"/>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Department Sales Over Time</a:t>
            </a:r>
          </a:p>
        </c:rich>
      </c:tx>
      <c:overlay val="0"/>
    </c:title>
    <c:plotArea>
      <c:layout/>
      <c:lineChart>
        <c:axId val="445894691"/>
        <c:axId val="1933460099"/>
      </c:lineChart>
      <c:catAx>
        <c:axId val="4458946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33460099"/>
      </c:catAx>
      <c:valAx>
        <c:axId val="1933460099"/>
        <c:scaling>
          <c:orientation val="minMax"/>
        </c:scaling>
        <c:delete val="0"/>
        <c:axPos val="l"/>
        <c:tickLblPos val="nextTo"/>
        <c:spPr>
          <a:ln>
            <a:noFill/>
          </a:ln>
        </c:spPr>
        <c:crossAx val="445894691"/>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Product Sales</a:t>
            </a:r>
          </a:p>
        </c:rich>
      </c:tx>
      <c:overlay val="0"/>
    </c:title>
    <c:plotArea>
      <c:layout/>
      <c:barChart>
        <c:barDir val="bar"/>
        <c:ser>
          <c:idx val="0"/>
          <c:order val="0"/>
          <c:tx>
            <c:strRef>
              <c:f>Sheet2!$B$128</c:f>
            </c:strRef>
          </c:tx>
          <c:val>
            <c:numRef>
              <c:f>Sheet2!$B$129:$B$132</c:f>
              <c:numCache/>
            </c:numRef>
          </c:val>
        </c:ser>
        <c:ser>
          <c:idx val="1"/>
          <c:order val="1"/>
          <c:tx>
            <c:strRef>
              <c:f>Sheet2!$C$128</c:f>
            </c:strRef>
          </c:tx>
          <c:val>
            <c:numRef>
              <c:f>Sheet2!$C$129:$C$132</c:f>
              <c:numCache/>
            </c:numRef>
          </c:val>
        </c:ser>
        <c:ser>
          <c:idx val="2"/>
          <c:order val="2"/>
          <c:tx>
            <c:strRef>
              <c:f>Sheet2!$D$128</c:f>
            </c:strRef>
          </c:tx>
          <c:val>
            <c:numRef>
              <c:f>Sheet2!$D$129:$D$132</c:f>
              <c:numCache/>
            </c:numRef>
          </c:val>
        </c:ser>
        <c:ser>
          <c:idx val="3"/>
          <c:order val="3"/>
          <c:tx>
            <c:strRef>
              <c:f>Sheet2!$E$128</c:f>
            </c:strRef>
          </c:tx>
          <c:val>
            <c:numRef>
              <c:f>Sheet2!$E$129:$E$132</c:f>
              <c:numCache/>
            </c:numRef>
          </c:val>
        </c:ser>
        <c:ser>
          <c:idx val="4"/>
          <c:order val="4"/>
          <c:tx>
            <c:strRef>
              <c:f>Sheet2!$F$128</c:f>
            </c:strRef>
          </c:tx>
          <c:val>
            <c:numRef>
              <c:f>Sheet2!$F$129:$F$132</c:f>
              <c:numCache/>
            </c:numRef>
          </c:val>
        </c:ser>
        <c:ser>
          <c:idx val="5"/>
          <c:order val="5"/>
          <c:tx>
            <c:strRef>
              <c:f>Sheet2!$G$128</c:f>
            </c:strRef>
          </c:tx>
          <c:val>
            <c:numRef>
              <c:f>Sheet2!$G$129:$G$132</c:f>
              <c:numCache/>
            </c:numRef>
          </c:val>
        </c:ser>
        <c:axId val="749694387"/>
        <c:axId val="1500912999"/>
      </c:barChart>
      <c:catAx>
        <c:axId val="7496943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0912999"/>
      </c:catAx>
      <c:valAx>
        <c:axId val="1500912999"/>
        <c:scaling>
          <c:orientation val="minMax"/>
        </c:scaling>
        <c:delete val="0"/>
        <c:axPos val="b"/>
        <c:tickLblPos val="nextTo"/>
        <c:spPr>
          <a:ln>
            <a:noFill/>
          </a:ln>
        </c:spPr>
        <c:crossAx val="749694387"/>
        <c:crosses val="max"/>
      </c:valAx>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85725</xdr:colOff>
      <xdr:row>15</xdr:row>
      <xdr:rowOff>76200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2</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49</xdr:row>
      <xdr:rowOff>95250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0</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51</xdr:row>
      <xdr:rowOff>0</xdr:rowOff>
    </xdr:from>
    <xdr:ext cx="4762500" cy="2857500"/>
    <xdr:graphicFrame>
      <xdr:nvGraphicFramePr>
        <xdr:cNvPr id="4" name="Chart 4" title="Units Sold by Produc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96</xdr:row>
      <xdr:rowOff>0</xdr:rowOff>
    </xdr:from>
    <xdr:ext cx="4762500" cy="2857500"/>
    <xdr:graphicFrame>
      <xdr:nvGraphicFramePr>
        <xdr:cNvPr id="5" name="Chart 5" title="Department Sales Over Tim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126</xdr:row>
      <xdr:rowOff>0</xdr:rowOff>
    </xdr:from>
    <xdr:ext cx="4762500" cy="2857500"/>
    <xdr:graphicFrame>
      <xdr:nvGraphicFramePr>
        <xdr:cNvPr id="6" name="Chart 6" title="Region-wise Product Sales"/>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containsBlank="1">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8"/>
        <s v="E1039"/>
        <s v="E1040"/>
        <s v="E1041"/>
        <s v="E1042"/>
        <s v="E1043"/>
        <s v="E1044"/>
        <s v="E1045"/>
        <s v="E1046"/>
        <s v="E1047"/>
        <s v="E1048"/>
        <s v="E1049"/>
        <m/>
      </sharedItems>
    </cacheField>
    <cacheField name="Name" numFmtId="0">
      <sharedItems containsBlank="1">
        <s v="Grace"/>
        <s v="Frank"/>
        <s v="David"/>
        <s v="Alice"/>
        <s v="Jack"/>
        <s v="Hannah"/>
        <s v="Ivy"/>
        <s v="Eve"/>
        <s v="Bob"/>
        <s v="Charlie"/>
        <m/>
      </sharedItems>
    </cacheField>
    <cacheField name="Department" numFmtId="0">
      <sharedItems containsBlank="1">
        <s v="Finance"/>
        <s v="Sales"/>
        <s v="HR"/>
        <s v="Marketing"/>
        <s v="IT"/>
        <m/>
      </sharedItems>
    </cacheField>
    <cacheField name="Product" numFmtId="0">
      <sharedItems containsBlank="1">
        <s v="Phone"/>
        <s v="Tablet"/>
        <s v="Monitor"/>
        <s v="Laptop"/>
        <s v="Keyboard"/>
        <m/>
      </sharedItems>
    </cacheField>
    <cacheField name="Region" numFmtId="0">
      <sharedItems containsBlank="1">
        <s v="West"/>
        <s v="South"/>
        <s v="North"/>
        <s v="East"/>
        <m/>
      </sharedItems>
    </cacheField>
    <cacheField name="Units Sold" numFmtId="0">
      <sharedItems containsString="0" containsBlank="1" containsNumber="1" containsInteger="1">
        <n v="52.0"/>
        <n v="20.0"/>
        <n v="74.0"/>
        <n v="12.0"/>
        <n v="24.0"/>
        <n v="26.0"/>
        <n v="39.0"/>
        <n v="36.0"/>
        <n v="88.0"/>
        <n v="95.0"/>
        <n v="16.0"/>
        <n v="11.0"/>
        <n v="28.0"/>
        <n v="76.0"/>
        <n v="47.0"/>
        <n v="60.0"/>
        <n v="62.0"/>
        <n v="57.0"/>
        <n v="32.0"/>
        <n v="64.0"/>
        <n v="25.0"/>
        <n v="43.0"/>
        <n v="18.0"/>
        <n v="2.0"/>
        <n v="84.0"/>
        <n v="65.0"/>
        <n v="30.0"/>
        <n v="70.0"/>
        <n v="87.0"/>
        <n v="37.0"/>
        <n v="14.0"/>
        <n v="99.0"/>
        <n v="82.0"/>
        <n v="97.0"/>
        <n v="94.0"/>
        <n v="63.0"/>
        <n v="83.0"/>
        <m/>
      </sharedItems>
    </cacheField>
    <cacheField name="Unit Price" numFmtId="0">
      <sharedItems containsString="0" containsBlank="1"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1757.0"/>
        <n v="4412.0"/>
        <n v="1396.0"/>
        <n v="4050.0"/>
        <n v="3780.0"/>
        <n v="1075.0"/>
        <n v="2152.0"/>
        <n v="4983.0"/>
        <n v="4591.0"/>
        <n v="1793.0"/>
        <n v="3764.0"/>
        <n v="4055.0"/>
        <m/>
      </sharedItems>
    </cacheField>
    <cacheField name="Date of Sale" numFmtId="164">
      <sharedItems containsDate="1" containsString="0" containsBlank="1">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8T00:00:00Z"/>
        <d v="2023-02-09T00:00:00Z"/>
        <d v="2023-02-10T00:00:00Z"/>
        <d v="2023-02-11T00:00:00Z"/>
        <d v="2023-02-12T00:00:00Z"/>
        <d v="2023-02-13T00:00:00Z"/>
        <d v="2023-02-14T00:00:00Z"/>
        <d v="2023-02-15T00:00:00Z"/>
        <d v="2023-02-16T00:00:00Z"/>
        <d v="2023-02-17T00:00:00Z"/>
        <d v="2023-02-18T00:00:00Z"/>
        <d v="2023-02-19T00:00:00Z"/>
        <m/>
      </sharedItems>
    </cacheField>
    <cacheField name="Total Sale" numFmtId="0">
      <sharedItems containsString="0" containsBlank="1"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65009.0"/>
        <n v="105888.0"/>
        <n v="19544.0"/>
        <n v="263250.0"/>
        <n v="374220.0"/>
        <n v="106425.0"/>
        <n v="176464.0"/>
        <n v="483351.0"/>
        <n v="431554.0"/>
        <n v="112959.0"/>
        <n v="240896.0"/>
        <n v="336565.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9" cacheId="0" dataCaption="" compact="0" compactData="0">
  <location ref="A1:H8"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axis="axisCol" compact="0" outline="0" multipleItemSelectionAllowed="1" showAll="0" sortType="ascending">
      <items>
        <item x="5"/>
        <item x="4"/>
        <item x="3"/>
        <item x="2"/>
        <item x="0"/>
        <item x="1"/>
        <item t="default"/>
      </items>
    </pivotField>
    <pivotField name="Region" axis="axisRow" compact="0" outline="0" multipleItemSelectionAllowed="1" showAll="0" sortType="ascending">
      <items>
        <item x="4"/>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4"/>
  </rowFields>
  <colFields>
    <field x="3"/>
  </colFields>
  <dataFields>
    <dataField name="SUM of Total Sale" fld="8" baseField="0"/>
  </dataFields>
</pivotTableDefinition>
</file>

<file path=xl/pivotTables/pivotTable2.xml><?xml version="1.0" encoding="utf-8"?>
<pivotTableDefinition xmlns="http://schemas.openxmlformats.org/spreadsheetml/2006/main" name="Pivot Table 8" cacheId="0" dataCaption="" compact="0" compactData="0">
  <location ref="A1:C8" firstHeaderRow="0" firstDataRow="2"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axis="axisRow" compact="0" outline="0" multipleItemSelectionAllowed="1" showAll="0" sortType="ascending">
      <items>
        <item x="5"/>
        <item x="4"/>
        <item x="3"/>
        <item x="2"/>
        <item x="0"/>
        <item x="1"/>
        <item t="default"/>
      </items>
    </pivotField>
    <pivotField name="Region"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3"/>
  </rowFields>
  <colFields>
    <field x="-2"/>
  </colFields>
  <dataFields>
    <dataField name="AVERAGE of Unit Price" fld="6" subtotal="average" baseField="0"/>
    <dataField name="MAX of Unit Price" fld="6" subtotal="max" baseField="0"/>
  </dataFields>
</pivotTableDefinition>
</file>

<file path=xl/pivotTables/pivotTable3.xml><?xml version="1.0" encoding="utf-8"?>
<pivotTableDefinition xmlns="http://schemas.openxmlformats.org/spreadsheetml/2006/main" name="Pivot Table 7" cacheId="0" dataCaption="" compact="0" compactData="0">
  <location ref="A1:H47"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axis="axisCol" compact="0" outline="0" multipleItemSelectionAllowed="1" showAll="0" sortType="ascending">
      <items>
        <item x="5"/>
        <item x="0"/>
        <item x="2"/>
        <item x="4"/>
        <item x="3"/>
        <item x="1"/>
        <item t="default"/>
      </items>
    </pivotField>
    <pivotField name="Produc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axis="axisRow" compact="0" numFmtId="164" outline="0" multipleItemSelectionAllowed="1" showAll="0" sortType="ascending">
      <items>
        <item x="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7"/>
  </rowFields>
  <colFields>
    <field x="2"/>
  </colFields>
  <dataFields>
    <dataField name="SUM of Total Sale" fld="8" baseField="0"/>
  </dataFields>
</pivotTableDefinition>
</file>

<file path=xl/pivotTables/pivotTable4.xml><?xml version="1.0" encoding="utf-8"?>
<pivotTableDefinition xmlns="http://schemas.openxmlformats.org/spreadsheetml/2006/main" name="Pivot Table 6" cacheId="0" dataCaption="" compact="0" compactData="0">
  <location ref="A1:B46"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axis="axisRow" compact="0" numFmtId="164" outline="0" multipleItemSelectionAllowed="1" showAll="0" sortType="ascending">
      <items>
        <item x="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7"/>
  </rowFields>
  <dataFields>
    <dataField name="SUM of Total Sale" fld="8" baseField="0"/>
  </dataFields>
</pivotTableDefinition>
</file>

<file path=xl/pivotTables/pivotTable5.xml><?xml version="1.0" encoding="utf-8"?>
<pivotTableDefinition xmlns="http://schemas.openxmlformats.org/spreadsheetml/2006/main" name="Pivot Table 5" cacheId="0" dataCaption="" compact="0" compactData="0">
  <location ref="A1:B13"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axis="axisRow" compact="0" outline="0" multipleItemSelectionAllowed="1" showAll="0" sortType="ascending">
      <items>
        <item x="10"/>
        <item x="3"/>
        <item x="8"/>
        <item x="9"/>
        <item x="2"/>
        <item x="7"/>
        <item x="1"/>
        <item x="0"/>
        <item x="5"/>
        <item x="6"/>
        <item x="4"/>
        <item t="default"/>
      </items>
    </pivotField>
    <pivotField name="Department"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1"/>
  </rowFields>
  <dataFields>
    <dataField name="SUM of Total Sale" fld="8" baseField="0"/>
  </dataFields>
</pivotTableDefinition>
</file>

<file path=xl/pivotTables/pivotTable6.xml><?xml version="1.0" encoding="utf-8"?>
<pivotTableDefinition xmlns="http://schemas.openxmlformats.org/spreadsheetml/2006/main" name="Pivot Table 4" cacheId="0" dataCaption="" compact="0" compactData="0">
  <location ref="A1:B7"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t="default"/>
      </items>
    </pivotField>
    <pivotField name="Region" axis="axisRow" compact="0" outline="0" multipleItemSelectionAllowed="1" showAll="0" sortType="ascending">
      <items>
        <item x="4"/>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4"/>
  </rowFields>
  <dataFields>
    <dataField name="COUNT of Total Sale" fld="8" subtotal="countNums" baseField="0"/>
  </dataFields>
</pivotTableDefinition>
</file>

<file path=xl/pivotTables/pivotTable7.xml><?xml version="1.0" encoding="utf-8"?>
<pivotTableDefinition xmlns="http://schemas.openxmlformats.org/spreadsheetml/2006/main" name="Pivot Table 3" cacheId="0" dataCaption="" compact="0" compactData="0">
  <location ref="A1:B8"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axis="axisRow" compact="0" outline="0" multipleItemSelectionAllowed="1" showAll="0" sortType="ascending">
      <items>
        <item x="5"/>
        <item x="4"/>
        <item x="3"/>
        <item x="2"/>
        <item x="0"/>
        <item x="1"/>
        <item t="default"/>
      </items>
    </pivotField>
    <pivotField name="Region" compact="0" outline="0" multipleItemSelectionAllowed="1" showAll="0">
      <items>
        <item x="0"/>
        <item x="1"/>
        <item x="2"/>
        <item x="3"/>
        <item x="4"/>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3"/>
  </rowFields>
  <dataFields>
    <dataField name="SUM of Units Sold" fld="5" baseField="0"/>
  </dataFields>
</pivotTableDefinition>
</file>

<file path=xl/pivotTables/pivotTable8.xml><?xml version="1.0" encoding="utf-8"?>
<pivotTableDefinition xmlns="http://schemas.openxmlformats.org/spreadsheetml/2006/main" name="Pivot Table 2" cacheId="0" dataCaption="" compact="0" compactData="0">
  <location ref="A1:B6"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t="default"/>
      </items>
    </pivotField>
    <pivotField name="Region" axis="axisRow" compact="0" outline="0" multipleItemSelectionAllowed="1" showAll="0" sortType="ascending">
      <items>
        <item x="4"/>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4"/>
  </rowFields>
  <dataFields>
    <dataField name="AVERAGE of Unit Price" fld="6" subtotal="average" baseField="0"/>
  </dataFields>
</pivotTableDefinition>
</file>

<file path=xl/pivotTables/pivotTable9.xml><?xml version="1.0" encoding="utf-8"?>
<pivotTableDefinition xmlns="http://schemas.openxmlformats.org/spreadsheetml/2006/main" name="Pivot Table 1" cacheId="0" dataCaption="" compact="0" compactData="0">
  <location ref="A1:B8" firstHeaderRow="0" firstDataRow="1"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Name" compact="0" outline="0" multipleItemSelectionAllowed="1" showAll="0">
      <items>
        <item x="0"/>
        <item x="1"/>
        <item x="2"/>
        <item x="3"/>
        <item x="4"/>
        <item x="5"/>
        <item x="6"/>
        <item x="7"/>
        <item x="8"/>
        <item x="9"/>
        <item x="10"/>
        <item t="default"/>
      </items>
    </pivotField>
    <pivotField name="Department" axis="axisRow" compact="0" outline="0" multipleItemSelectionAllowed="1" showAll="0" sortType="ascending">
      <items>
        <item x="5"/>
        <item x="0"/>
        <item x="2"/>
        <item x="4"/>
        <item x="3"/>
        <item x="1"/>
        <item t="default"/>
      </items>
    </pivotField>
    <pivotField name="Product" compact="0" outline="0" multipleItemSelectionAllowed="1" showAll="0">
      <items>
        <item x="0"/>
        <item x="1"/>
        <item x="2"/>
        <item x="3"/>
        <item x="4"/>
        <item x="5"/>
        <item t="default"/>
      </items>
    </pivotField>
    <pivotField name="Region" compact="0" outline="0" multipleItemSelectionAllowed="1" showAll="0">
      <items>
        <item x="0"/>
        <item x="1"/>
        <item x="2"/>
        <item x="3"/>
        <item x="4"/>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field x="2"/>
  </rowFields>
  <dataFields>
    <dataField name="SUM of Total Sale"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5" caption="Region" rowHeight="247650"/>
</x14:slicers>
</file>

<file path=xl/tables/table1.xml><?xml version="1.0" encoding="utf-8"?>
<table xmlns="http://schemas.openxmlformats.org/spreadsheetml/2006/main" ref="A1:I44" displayName="Table_1" name="Table_1" id="1">
  <autoFilter ref="$A$1:$I$44"/>
  <tableColumns count="9">
    <tableColumn name=" Employee ID" id="1"/>
    <tableColumn name="Name" id="2"/>
    <tableColumn name="Department" id="3"/>
    <tableColumn name="Product" id="4"/>
    <tableColumn name="Region" id="5"/>
    <tableColumn name="Units Sold" id="6"/>
    <tableColumn name="Unit Price" id="7"/>
    <tableColumn name="Date of Sale" id="8"/>
    <tableColumn name="Total Sal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v>
      </c>
      <c r="B1" s="2" t="s">
        <v>9</v>
      </c>
      <c r="C1" s="2" t="s">
        <v>11</v>
      </c>
      <c r="D1" s="2" t="s">
        <v>0</v>
      </c>
      <c r="E1" s="2" t="s">
        <v>12</v>
      </c>
      <c r="F1" s="2" t="s">
        <v>13</v>
      </c>
      <c r="G1" s="2" t="s">
        <v>14</v>
      </c>
      <c r="H1" s="2" t="s">
        <v>15</v>
      </c>
      <c r="I1" s="2" t="s">
        <v>16</v>
      </c>
    </row>
    <row r="2">
      <c r="A2" s="3" t="s">
        <v>17</v>
      </c>
      <c r="B2" s="3" t="s">
        <v>18</v>
      </c>
      <c r="C2" s="3" t="s">
        <v>19</v>
      </c>
      <c r="D2" s="3" t="s">
        <v>7</v>
      </c>
      <c r="E2" s="3" t="s">
        <v>20</v>
      </c>
      <c r="F2" s="4">
        <v>52.0</v>
      </c>
      <c r="G2" s="4">
        <v>3890.0</v>
      </c>
      <c r="H2" s="5">
        <v>44927.0</v>
      </c>
      <c r="I2" s="4">
        <v>202280.0</v>
      </c>
    </row>
    <row r="3">
      <c r="A3" s="3" t="s">
        <v>21</v>
      </c>
      <c r="B3" s="3" t="s">
        <v>18</v>
      </c>
      <c r="C3" s="3" t="s">
        <v>19</v>
      </c>
      <c r="D3" s="3" t="s">
        <v>8</v>
      </c>
      <c r="E3" s="3" t="s">
        <v>22</v>
      </c>
      <c r="F3" s="4">
        <v>20.0</v>
      </c>
      <c r="G3" s="4">
        <v>1050.0</v>
      </c>
      <c r="H3" s="5">
        <v>44928.0</v>
      </c>
      <c r="I3" s="4">
        <v>21000.0</v>
      </c>
    </row>
    <row r="4">
      <c r="A4" s="3" t="s">
        <v>23</v>
      </c>
      <c r="B4" s="3" t="s">
        <v>24</v>
      </c>
      <c r="C4" s="3" t="s">
        <v>25</v>
      </c>
      <c r="D4" s="3" t="s">
        <v>7</v>
      </c>
      <c r="E4" s="3" t="s">
        <v>22</v>
      </c>
      <c r="F4" s="4">
        <v>74.0</v>
      </c>
      <c r="G4" s="4">
        <v>1334.0</v>
      </c>
      <c r="H4" s="5">
        <v>44929.0</v>
      </c>
      <c r="I4" s="4">
        <v>98716.0</v>
      </c>
    </row>
    <row r="5">
      <c r="A5" s="3" t="s">
        <v>26</v>
      </c>
      <c r="B5" s="3" t="s">
        <v>27</v>
      </c>
      <c r="C5" s="3" t="s">
        <v>19</v>
      </c>
      <c r="D5" s="3" t="s">
        <v>7</v>
      </c>
      <c r="E5" s="3" t="s">
        <v>28</v>
      </c>
      <c r="F5" s="4">
        <v>12.0</v>
      </c>
      <c r="G5" s="4">
        <v>2991.0</v>
      </c>
      <c r="H5" s="5">
        <v>44930.0</v>
      </c>
      <c r="I5" s="4">
        <v>35892.0</v>
      </c>
    </row>
    <row r="6">
      <c r="A6" s="3" t="s">
        <v>29</v>
      </c>
      <c r="B6" s="3" t="s">
        <v>24</v>
      </c>
      <c r="C6" s="3" t="s">
        <v>25</v>
      </c>
      <c r="D6" s="3" t="s">
        <v>5</v>
      </c>
      <c r="E6" s="3" t="s">
        <v>28</v>
      </c>
      <c r="F6" s="4">
        <v>24.0</v>
      </c>
      <c r="G6" s="4">
        <v>1326.0</v>
      </c>
      <c r="H6" s="5">
        <v>44931.0</v>
      </c>
      <c r="I6" s="4">
        <v>31824.0</v>
      </c>
    </row>
    <row r="7">
      <c r="A7" s="3" t="s">
        <v>30</v>
      </c>
      <c r="B7" s="3" t="s">
        <v>31</v>
      </c>
      <c r="C7" s="3" t="s">
        <v>32</v>
      </c>
      <c r="D7" s="3" t="s">
        <v>4</v>
      </c>
      <c r="E7" s="3" t="s">
        <v>28</v>
      </c>
      <c r="F7" s="4">
        <v>26.0</v>
      </c>
      <c r="G7" s="4">
        <v>2871.0</v>
      </c>
      <c r="H7" s="5">
        <v>44932.0</v>
      </c>
      <c r="I7" s="4">
        <v>74646.0</v>
      </c>
    </row>
    <row r="8">
      <c r="A8" s="3" t="s">
        <v>33</v>
      </c>
      <c r="B8" s="3" t="s">
        <v>31</v>
      </c>
      <c r="C8" s="3" t="s">
        <v>32</v>
      </c>
      <c r="D8" s="3" t="s">
        <v>8</v>
      </c>
      <c r="E8" s="3" t="s">
        <v>20</v>
      </c>
      <c r="F8" s="4">
        <v>39.0</v>
      </c>
      <c r="G8" s="4">
        <v>4625.0</v>
      </c>
      <c r="H8" s="5">
        <v>44933.0</v>
      </c>
      <c r="I8" s="4">
        <v>180375.0</v>
      </c>
    </row>
    <row r="9">
      <c r="A9" s="3" t="s">
        <v>34</v>
      </c>
      <c r="B9" s="3" t="s">
        <v>24</v>
      </c>
      <c r="C9" s="3" t="s">
        <v>19</v>
      </c>
      <c r="D9" s="3" t="s">
        <v>8</v>
      </c>
      <c r="E9" s="3" t="s">
        <v>20</v>
      </c>
      <c r="F9" s="4">
        <v>36.0</v>
      </c>
      <c r="G9" s="4">
        <v>2257.0</v>
      </c>
      <c r="H9" s="5">
        <v>44934.0</v>
      </c>
      <c r="I9" s="4">
        <v>81252.0</v>
      </c>
    </row>
    <row r="10">
      <c r="A10" s="3" t="s">
        <v>35</v>
      </c>
      <c r="B10" s="3" t="s">
        <v>36</v>
      </c>
      <c r="C10" s="3" t="s">
        <v>32</v>
      </c>
      <c r="D10" s="3" t="s">
        <v>5</v>
      </c>
      <c r="E10" s="3" t="s">
        <v>37</v>
      </c>
      <c r="F10" s="4">
        <v>88.0</v>
      </c>
      <c r="G10" s="4">
        <v>3168.0</v>
      </c>
      <c r="H10" s="5">
        <v>44935.0</v>
      </c>
      <c r="I10" s="4">
        <v>278784.0</v>
      </c>
    </row>
    <row r="11">
      <c r="A11" s="3" t="s">
        <v>38</v>
      </c>
      <c r="B11" s="3" t="s">
        <v>36</v>
      </c>
      <c r="C11" s="3" t="s">
        <v>39</v>
      </c>
      <c r="D11" s="3" t="s">
        <v>8</v>
      </c>
      <c r="E11" s="3" t="s">
        <v>28</v>
      </c>
      <c r="F11" s="4">
        <v>95.0</v>
      </c>
      <c r="G11" s="4">
        <v>2360.0</v>
      </c>
      <c r="H11" s="5">
        <v>44936.0</v>
      </c>
      <c r="I11" s="4">
        <v>224200.0</v>
      </c>
    </row>
    <row r="12">
      <c r="A12" s="3" t="s">
        <v>40</v>
      </c>
      <c r="B12" s="3" t="s">
        <v>41</v>
      </c>
      <c r="C12" s="3" t="s">
        <v>42</v>
      </c>
      <c r="D12" s="3" t="s">
        <v>7</v>
      </c>
      <c r="E12" s="3" t="s">
        <v>28</v>
      </c>
      <c r="F12" s="4">
        <v>16.0</v>
      </c>
      <c r="G12" s="4">
        <v>4264.0</v>
      </c>
      <c r="H12" s="5">
        <v>44937.0</v>
      </c>
      <c r="I12" s="4">
        <v>68224.0</v>
      </c>
    </row>
    <row r="13">
      <c r="A13" s="3" t="s">
        <v>43</v>
      </c>
      <c r="B13" s="3" t="s">
        <v>24</v>
      </c>
      <c r="C13" s="3" t="s">
        <v>32</v>
      </c>
      <c r="D13" s="3" t="s">
        <v>4</v>
      </c>
      <c r="E13" s="3" t="s">
        <v>28</v>
      </c>
      <c r="F13" s="4">
        <v>11.0</v>
      </c>
      <c r="G13" s="4">
        <v>4003.0</v>
      </c>
      <c r="H13" s="5">
        <v>44938.0</v>
      </c>
      <c r="I13" s="4">
        <v>44033.0</v>
      </c>
    </row>
    <row r="14">
      <c r="A14" s="3" t="s">
        <v>44</v>
      </c>
      <c r="B14" s="3" t="s">
        <v>45</v>
      </c>
      <c r="C14" s="3" t="s">
        <v>42</v>
      </c>
      <c r="D14" s="3" t="s">
        <v>4</v>
      </c>
      <c r="E14" s="3" t="s">
        <v>22</v>
      </c>
      <c r="F14" s="4">
        <v>28.0</v>
      </c>
      <c r="G14" s="4">
        <v>4411.0</v>
      </c>
      <c r="H14" s="5">
        <v>44939.0</v>
      </c>
      <c r="I14" s="4">
        <v>123508.0</v>
      </c>
    </row>
    <row r="15">
      <c r="A15" s="3" t="s">
        <v>46</v>
      </c>
      <c r="B15" s="3" t="s">
        <v>47</v>
      </c>
      <c r="C15" s="3" t="s">
        <v>32</v>
      </c>
      <c r="D15" s="3" t="s">
        <v>5</v>
      </c>
      <c r="E15" s="3" t="s">
        <v>37</v>
      </c>
      <c r="F15" s="4">
        <v>76.0</v>
      </c>
      <c r="G15" s="4">
        <v>4104.0</v>
      </c>
      <c r="H15" s="5">
        <v>44940.0</v>
      </c>
      <c r="I15" s="4">
        <v>311904.0</v>
      </c>
    </row>
    <row r="16">
      <c r="A16" s="3" t="s">
        <v>48</v>
      </c>
      <c r="B16" s="3" t="s">
        <v>27</v>
      </c>
      <c r="C16" s="3" t="s">
        <v>19</v>
      </c>
      <c r="D16" s="3" t="s">
        <v>5</v>
      </c>
      <c r="E16" s="3" t="s">
        <v>37</v>
      </c>
      <c r="F16" s="4">
        <v>74.0</v>
      </c>
      <c r="G16" s="4">
        <v>3342.0</v>
      </c>
      <c r="H16" s="5">
        <v>44941.0</v>
      </c>
      <c r="I16" s="4">
        <v>247308.0</v>
      </c>
    </row>
    <row r="17">
      <c r="A17" s="3" t="s">
        <v>49</v>
      </c>
      <c r="B17" s="3" t="s">
        <v>27</v>
      </c>
      <c r="C17" s="3" t="s">
        <v>19</v>
      </c>
      <c r="D17" s="3" t="s">
        <v>5</v>
      </c>
      <c r="E17" s="3" t="s">
        <v>28</v>
      </c>
      <c r="F17" s="4">
        <v>47.0</v>
      </c>
      <c r="G17" s="4">
        <v>1647.0</v>
      </c>
      <c r="H17" s="5">
        <v>44942.0</v>
      </c>
      <c r="I17" s="4">
        <v>77409.0</v>
      </c>
    </row>
    <row r="18">
      <c r="A18" s="3" t="s">
        <v>50</v>
      </c>
      <c r="B18" s="3" t="s">
        <v>36</v>
      </c>
      <c r="C18" s="3" t="s">
        <v>39</v>
      </c>
      <c r="D18" s="3" t="s">
        <v>5</v>
      </c>
      <c r="E18" s="3" t="s">
        <v>28</v>
      </c>
      <c r="F18" s="4">
        <v>60.0</v>
      </c>
      <c r="G18" s="4">
        <v>2045.0</v>
      </c>
      <c r="H18" s="5">
        <v>44943.0</v>
      </c>
      <c r="I18" s="4">
        <v>122700.0</v>
      </c>
    </row>
    <row r="19">
      <c r="A19" s="3" t="s">
        <v>51</v>
      </c>
      <c r="B19" s="3" t="s">
        <v>18</v>
      </c>
      <c r="C19" s="3" t="s">
        <v>42</v>
      </c>
      <c r="D19" s="3" t="s">
        <v>5</v>
      </c>
      <c r="E19" s="3" t="s">
        <v>22</v>
      </c>
      <c r="F19" s="4">
        <v>62.0</v>
      </c>
      <c r="G19" s="4">
        <v>3073.0</v>
      </c>
      <c r="H19" s="5">
        <v>44944.0</v>
      </c>
      <c r="I19" s="4">
        <v>190526.0</v>
      </c>
    </row>
    <row r="20">
      <c r="A20" s="3" t="s">
        <v>52</v>
      </c>
      <c r="B20" s="3" t="s">
        <v>24</v>
      </c>
      <c r="C20" s="3" t="s">
        <v>42</v>
      </c>
      <c r="D20" s="3" t="s">
        <v>8</v>
      </c>
      <c r="E20" s="3" t="s">
        <v>37</v>
      </c>
      <c r="F20" s="4">
        <v>57.0</v>
      </c>
      <c r="G20" s="4">
        <v>2641.0</v>
      </c>
      <c r="H20" s="5">
        <v>44945.0</v>
      </c>
      <c r="I20" s="4">
        <v>150537.0</v>
      </c>
    </row>
    <row r="21">
      <c r="A21" s="3" t="s">
        <v>53</v>
      </c>
      <c r="B21" s="3" t="s">
        <v>24</v>
      </c>
      <c r="C21" s="3" t="s">
        <v>42</v>
      </c>
      <c r="D21" s="3" t="s">
        <v>5</v>
      </c>
      <c r="E21" s="3" t="s">
        <v>22</v>
      </c>
      <c r="F21" s="4">
        <v>32.0</v>
      </c>
      <c r="G21" s="4">
        <v>1582.0</v>
      </c>
      <c r="H21" s="5">
        <v>44946.0</v>
      </c>
      <c r="I21" s="4">
        <v>50624.0</v>
      </c>
    </row>
    <row r="22">
      <c r="A22" s="3" t="s">
        <v>54</v>
      </c>
      <c r="B22" s="3" t="s">
        <v>55</v>
      </c>
      <c r="C22" s="3" t="s">
        <v>19</v>
      </c>
      <c r="D22" s="3" t="s">
        <v>8</v>
      </c>
      <c r="E22" s="3" t="s">
        <v>20</v>
      </c>
      <c r="F22" s="4">
        <v>64.0</v>
      </c>
      <c r="G22" s="4">
        <v>3773.0</v>
      </c>
      <c r="H22" s="5">
        <v>44947.0</v>
      </c>
      <c r="I22" s="4">
        <v>241472.0</v>
      </c>
    </row>
    <row r="23">
      <c r="A23" s="3" t="s">
        <v>56</v>
      </c>
      <c r="B23" s="3" t="s">
        <v>45</v>
      </c>
      <c r="C23" s="3" t="s">
        <v>42</v>
      </c>
      <c r="D23" s="3" t="s">
        <v>8</v>
      </c>
      <c r="E23" s="3" t="s">
        <v>28</v>
      </c>
      <c r="F23" s="4">
        <v>25.0</v>
      </c>
      <c r="G23" s="4">
        <v>2213.0</v>
      </c>
      <c r="H23" s="5">
        <v>44948.0</v>
      </c>
      <c r="I23" s="4">
        <v>55325.0</v>
      </c>
    </row>
    <row r="24">
      <c r="A24" s="3" t="s">
        <v>57</v>
      </c>
      <c r="B24" s="3" t="s">
        <v>24</v>
      </c>
      <c r="C24" s="3" t="s">
        <v>19</v>
      </c>
      <c r="D24" s="3" t="s">
        <v>7</v>
      </c>
      <c r="E24" s="3" t="s">
        <v>28</v>
      </c>
      <c r="F24" s="4">
        <v>43.0</v>
      </c>
      <c r="G24" s="4">
        <v>1518.0</v>
      </c>
      <c r="H24" s="5">
        <v>44949.0</v>
      </c>
      <c r="I24" s="4">
        <v>65274.0</v>
      </c>
    </row>
    <row r="25">
      <c r="A25" s="3" t="s">
        <v>58</v>
      </c>
      <c r="B25" s="3" t="s">
        <v>47</v>
      </c>
      <c r="C25" s="3" t="s">
        <v>42</v>
      </c>
      <c r="D25" s="3" t="s">
        <v>5</v>
      </c>
      <c r="E25" s="3" t="s">
        <v>22</v>
      </c>
      <c r="F25" s="4">
        <v>18.0</v>
      </c>
      <c r="G25" s="4">
        <v>1042.0</v>
      </c>
      <c r="H25" s="5">
        <v>44950.0</v>
      </c>
      <c r="I25" s="4">
        <v>18756.0</v>
      </c>
    </row>
    <row r="26">
      <c r="A26" s="3" t="s">
        <v>59</v>
      </c>
      <c r="B26" s="3" t="s">
        <v>55</v>
      </c>
      <c r="C26" s="3" t="s">
        <v>25</v>
      </c>
      <c r="D26" s="3" t="s">
        <v>5</v>
      </c>
      <c r="E26" s="3" t="s">
        <v>37</v>
      </c>
      <c r="F26" s="4">
        <v>2.0</v>
      </c>
      <c r="G26" s="4">
        <v>2178.0</v>
      </c>
      <c r="H26" s="5">
        <v>44951.0</v>
      </c>
      <c r="I26" s="4">
        <v>4356.0</v>
      </c>
    </row>
    <row r="27">
      <c r="A27" s="3" t="s">
        <v>60</v>
      </c>
      <c r="B27" s="3" t="s">
        <v>61</v>
      </c>
      <c r="C27" s="3" t="s">
        <v>32</v>
      </c>
      <c r="D27" s="3" t="s">
        <v>7</v>
      </c>
      <c r="E27" s="3" t="s">
        <v>37</v>
      </c>
      <c r="F27" s="4">
        <v>84.0</v>
      </c>
      <c r="G27" s="4">
        <v>4439.0</v>
      </c>
      <c r="H27" s="5">
        <v>44952.0</v>
      </c>
      <c r="I27" s="4">
        <v>372876.0</v>
      </c>
    </row>
    <row r="28">
      <c r="A28" s="3" t="s">
        <v>62</v>
      </c>
      <c r="B28" s="3" t="s">
        <v>24</v>
      </c>
      <c r="C28" s="3" t="s">
        <v>19</v>
      </c>
      <c r="D28" s="3" t="s">
        <v>5</v>
      </c>
      <c r="E28" s="3" t="s">
        <v>28</v>
      </c>
      <c r="F28" s="4">
        <v>12.0</v>
      </c>
      <c r="G28" s="4">
        <v>1148.0</v>
      </c>
      <c r="H28" s="5">
        <v>44953.0</v>
      </c>
      <c r="I28" s="4">
        <v>13776.0</v>
      </c>
    </row>
    <row r="29">
      <c r="A29" s="3" t="s">
        <v>63</v>
      </c>
      <c r="B29" s="3" t="s">
        <v>55</v>
      </c>
      <c r="C29" s="3" t="s">
        <v>19</v>
      </c>
      <c r="D29" s="3" t="s">
        <v>8</v>
      </c>
      <c r="E29" s="3" t="s">
        <v>37</v>
      </c>
      <c r="F29" s="4">
        <v>65.0</v>
      </c>
      <c r="G29" s="4">
        <v>4067.0</v>
      </c>
      <c r="H29" s="5">
        <v>44954.0</v>
      </c>
      <c r="I29" s="4">
        <v>264355.0</v>
      </c>
      <c r="J29" s="4"/>
    </row>
    <row r="30">
      <c r="A30" s="3" t="s">
        <v>64</v>
      </c>
      <c r="B30" s="3" t="s">
        <v>45</v>
      </c>
      <c r="C30" s="3" t="s">
        <v>32</v>
      </c>
      <c r="D30" s="3" t="s">
        <v>4</v>
      </c>
      <c r="E30" s="3" t="s">
        <v>37</v>
      </c>
      <c r="F30" s="4">
        <v>30.0</v>
      </c>
      <c r="G30" s="4">
        <v>3294.0</v>
      </c>
      <c r="H30" s="5">
        <v>44955.0</v>
      </c>
      <c r="I30" s="4">
        <v>98820.0</v>
      </c>
    </row>
    <row r="31">
      <c r="A31" s="3" t="s">
        <v>65</v>
      </c>
      <c r="B31" s="3" t="s">
        <v>47</v>
      </c>
      <c r="C31" s="3" t="s">
        <v>32</v>
      </c>
      <c r="D31" s="3" t="s">
        <v>4</v>
      </c>
      <c r="E31" s="3" t="s">
        <v>37</v>
      </c>
      <c r="F31" s="4">
        <v>70.0</v>
      </c>
      <c r="G31" s="4">
        <v>2269.0</v>
      </c>
      <c r="H31" s="5">
        <v>44956.0</v>
      </c>
      <c r="I31" s="4">
        <v>158830.0</v>
      </c>
    </row>
    <row r="32">
      <c r="A32" s="3" t="s">
        <v>66</v>
      </c>
      <c r="B32" s="3" t="s">
        <v>55</v>
      </c>
      <c r="C32" s="3" t="s">
        <v>25</v>
      </c>
      <c r="D32" s="3" t="s">
        <v>8</v>
      </c>
      <c r="E32" s="3" t="s">
        <v>28</v>
      </c>
      <c r="F32" s="4">
        <v>87.0</v>
      </c>
      <c r="G32" s="4">
        <v>2832.0</v>
      </c>
      <c r="H32" s="5">
        <v>44957.0</v>
      </c>
      <c r="I32" s="4">
        <v>246384.0</v>
      </c>
    </row>
    <row r="33">
      <c r="A33" s="3" t="s">
        <v>67</v>
      </c>
      <c r="B33" s="3" t="s">
        <v>27</v>
      </c>
      <c r="C33" s="3" t="s">
        <v>42</v>
      </c>
      <c r="D33" s="3" t="s">
        <v>7</v>
      </c>
      <c r="E33" s="3" t="s">
        <v>20</v>
      </c>
      <c r="F33" s="4">
        <v>37.0</v>
      </c>
      <c r="G33" s="4">
        <v>1757.0</v>
      </c>
      <c r="H33" s="5">
        <v>44965.0</v>
      </c>
      <c r="I33" s="4">
        <v>65009.0</v>
      </c>
    </row>
    <row r="34">
      <c r="A34" s="3" t="s">
        <v>68</v>
      </c>
      <c r="B34" s="3" t="s">
        <v>18</v>
      </c>
      <c r="C34" s="3" t="s">
        <v>32</v>
      </c>
      <c r="D34" s="3" t="s">
        <v>4</v>
      </c>
      <c r="E34" s="3" t="s">
        <v>37</v>
      </c>
      <c r="F34" s="4">
        <v>24.0</v>
      </c>
      <c r="G34" s="4">
        <v>4412.0</v>
      </c>
      <c r="H34" s="5">
        <v>44966.0</v>
      </c>
      <c r="I34" s="4">
        <v>105888.0</v>
      </c>
    </row>
    <row r="35">
      <c r="A35" s="3" t="s">
        <v>69</v>
      </c>
      <c r="B35" s="3" t="s">
        <v>55</v>
      </c>
      <c r="C35" s="3" t="s">
        <v>25</v>
      </c>
      <c r="D35" s="3" t="s">
        <v>5</v>
      </c>
      <c r="E35" s="3" t="s">
        <v>20</v>
      </c>
      <c r="F35" s="4">
        <v>14.0</v>
      </c>
      <c r="G35" s="4">
        <v>1396.0</v>
      </c>
      <c r="H35" s="5">
        <v>44967.0</v>
      </c>
      <c r="I35" s="4">
        <v>19544.0</v>
      </c>
    </row>
    <row r="36">
      <c r="A36" s="3" t="s">
        <v>70</v>
      </c>
      <c r="B36" s="3" t="s">
        <v>36</v>
      </c>
      <c r="C36" s="3" t="s">
        <v>39</v>
      </c>
      <c r="D36" s="3" t="s">
        <v>3</v>
      </c>
      <c r="E36" s="3" t="s">
        <v>37</v>
      </c>
      <c r="F36" s="4">
        <v>65.0</v>
      </c>
      <c r="G36" s="4">
        <v>4050.0</v>
      </c>
      <c r="H36" s="5">
        <v>44968.0</v>
      </c>
      <c r="I36" s="4">
        <v>263250.0</v>
      </c>
    </row>
    <row r="37">
      <c r="A37" s="3" t="s">
        <v>71</v>
      </c>
      <c r="B37" s="3" t="s">
        <v>31</v>
      </c>
      <c r="C37" s="3" t="s">
        <v>39</v>
      </c>
      <c r="D37" s="3" t="s">
        <v>8</v>
      </c>
      <c r="E37" s="3" t="s">
        <v>37</v>
      </c>
      <c r="F37" s="4">
        <v>99.0</v>
      </c>
      <c r="G37" s="4">
        <v>3780.0</v>
      </c>
      <c r="H37" s="5">
        <v>44969.0</v>
      </c>
      <c r="I37" s="4">
        <v>374220.0</v>
      </c>
    </row>
    <row r="38">
      <c r="A38" s="3" t="s">
        <v>72</v>
      </c>
      <c r="B38" s="3" t="s">
        <v>36</v>
      </c>
      <c r="C38" s="3" t="s">
        <v>19</v>
      </c>
      <c r="D38" s="3" t="s">
        <v>7</v>
      </c>
      <c r="E38" s="3" t="s">
        <v>20</v>
      </c>
      <c r="F38" s="4">
        <v>99.0</v>
      </c>
      <c r="G38" s="4">
        <v>1075.0</v>
      </c>
      <c r="H38" s="5">
        <v>44970.0</v>
      </c>
      <c r="I38" s="4">
        <v>106425.0</v>
      </c>
    </row>
    <row r="39">
      <c r="A39" s="3" t="s">
        <v>73</v>
      </c>
      <c r="B39" s="3" t="s">
        <v>27</v>
      </c>
      <c r="C39" s="3" t="s">
        <v>39</v>
      </c>
      <c r="D39" s="3" t="s">
        <v>8</v>
      </c>
      <c r="E39" s="3" t="s">
        <v>20</v>
      </c>
      <c r="F39" s="4">
        <v>82.0</v>
      </c>
      <c r="G39" s="4">
        <v>2152.0</v>
      </c>
      <c r="H39" s="5">
        <v>44971.0</v>
      </c>
      <c r="I39" s="4">
        <v>176464.0</v>
      </c>
    </row>
    <row r="40">
      <c r="A40" s="3" t="s">
        <v>74</v>
      </c>
      <c r="B40" s="3" t="s">
        <v>24</v>
      </c>
      <c r="C40" s="3" t="s">
        <v>19</v>
      </c>
      <c r="D40" s="3" t="s">
        <v>3</v>
      </c>
      <c r="E40" s="3" t="s">
        <v>28</v>
      </c>
      <c r="F40" s="4">
        <v>97.0</v>
      </c>
      <c r="G40" s="4">
        <v>4983.0</v>
      </c>
      <c r="H40" s="5">
        <v>44972.0</v>
      </c>
      <c r="I40" s="4">
        <v>483351.0</v>
      </c>
    </row>
    <row r="41">
      <c r="A41" s="3" t="s">
        <v>75</v>
      </c>
      <c r="B41" s="3" t="s">
        <v>27</v>
      </c>
      <c r="C41" s="3" t="s">
        <v>32</v>
      </c>
      <c r="D41" s="3" t="s">
        <v>7</v>
      </c>
      <c r="E41" s="3" t="s">
        <v>20</v>
      </c>
      <c r="F41" s="4">
        <v>94.0</v>
      </c>
      <c r="G41" s="4">
        <v>4591.0</v>
      </c>
      <c r="H41" s="5">
        <v>44973.0</v>
      </c>
      <c r="I41" s="4">
        <v>431554.0</v>
      </c>
    </row>
    <row r="42">
      <c r="A42" s="3" t="s">
        <v>76</v>
      </c>
      <c r="B42" s="3" t="s">
        <v>31</v>
      </c>
      <c r="C42" s="3" t="s">
        <v>42</v>
      </c>
      <c r="D42" s="3" t="s">
        <v>8</v>
      </c>
      <c r="E42" s="3" t="s">
        <v>20</v>
      </c>
      <c r="F42" s="4">
        <v>63.0</v>
      </c>
      <c r="G42" s="4">
        <v>1793.0</v>
      </c>
      <c r="H42" s="5">
        <v>44974.0</v>
      </c>
      <c r="I42" s="4">
        <v>112959.0</v>
      </c>
    </row>
    <row r="43">
      <c r="A43" s="3" t="s">
        <v>77</v>
      </c>
      <c r="B43" s="3" t="s">
        <v>27</v>
      </c>
      <c r="C43" s="3" t="s">
        <v>32</v>
      </c>
      <c r="D43" s="3" t="s">
        <v>3</v>
      </c>
      <c r="E43" s="3" t="s">
        <v>22</v>
      </c>
      <c r="F43" s="4">
        <v>64.0</v>
      </c>
      <c r="G43" s="4">
        <v>3764.0</v>
      </c>
      <c r="H43" s="5">
        <v>44975.0</v>
      </c>
      <c r="I43" s="4">
        <v>240896.0</v>
      </c>
    </row>
    <row r="44">
      <c r="A44" s="3" t="s">
        <v>78</v>
      </c>
      <c r="B44" s="3" t="s">
        <v>36</v>
      </c>
      <c r="C44" s="3" t="s">
        <v>19</v>
      </c>
      <c r="D44" s="3" t="s">
        <v>3</v>
      </c>
      <c r="E44" s="3" t="s">
        <v>22</v>
      </c>
      <c r="F44" s="4">
        <v>83.0</v>
      </c>
      <c r="G44" s="4">
        <v>4055.0</v>
      </c>
      <c r="H44" s="5">
        <v>44976.0</v>
      </c>
      <c r="I44" s="4">
        <v>336565.0</v>
      </c>
    </row>
    <row r="54">
      <c r="A54" s="1" t="str">
        <f>VLOOKUP(C2:C51,Department,true)</f>
        <v>#NAME?</v>
      </c>
    </row>
  </sheetData>
  <customSheetViews>
    <customSheetView guid="{06C32DF7-E4A8-405A-B777-25192821B48F}" filter="1" showAutoFilter="1">
      <autoFilter ref="$A$1:$I$44"/>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82</v>
      </c>
    </row>
    <row r="2">
      <c r="A2" s="3" t="s">
        <v>83</v>
      </c>
      <c r="C2" s="1" t="str">
        <f>VLOOKUP("E1000",Sheet1!A2:I51,3,FALSE)</f>
        <v>Finance</v>
      </c>
    </row>
    <row r="3">
      <c r="A3" s="3" t="s">
        <v>84</v>
      </c>
      <c r="C3" s="1" t="str">
        <f>HLOOKUP("Product",Sheet1!A1:I2,1,FALSE)</f>
        <v>Product</v>
      </c>
    </row>
    <row r="4">
      <c r="A4" s="3" t="s">
        <v>85</v>
      </c>
      <c r="C4" s="1" t="str">
        <f t="array" ref="C4">_xlfn.XLOOKUP("Phone",Sheet1!D2:D54,Sheet1!E2:E54)</f>
        <v>West</v>
      </c>
    </row>
    <row r="5">
      <c r="A5" s="3" t="s">
        <v>86</v>
      </c>
      <c r="C5" s="1">
        <f>VLOOKUP("E1000",Sheet1!A2:I54,7,FALSE)</f>
        <v>3890</v>
      </c>
    </row>
    <row r="6">
      <c r="A6" s="3" t="s">
        <v>87</v>
      </c>
      <c r="C6" s="1">
        <f t="array" ref="C6">INDEX(Sheet1!G2:G54,MATCH("E1000",Sheet1!A2:A54,0))</f>
        <v>3890</v>
      </c>
    </row>
    <row r="7">
      <c r="A7" s="3" t="s">
        <v>88</v>
      </c>
      <c r="C7" s="1">
        <f t="array" ref="C7">_xlfn.XLOOKUP("E1000",Sheet1!A2:A54,Sheet1!I2:I54)</f>
        <v>202280</v>
      </c>
    </row>
    <row r="8">
      <c r="A8" s="3" t="s">
        <v>89</v>
      </c>
      <c r="C8" s="1">
        <f t="array" ref="C8">_xlfn.XLOOKUP("Phone",Sheet1!D2:D54,Sheet1!F2:F54)</f>
        <v>52</v>
      </c>
    </row>
    <row r="9">
      <c r="A9" s="3" t="s">
        <v>90</v>
      </c>
      <c r="C9" s="1" t="str">
        <f>LOOKUP(2,1/(Sheet1!B2:B54&lt;&gt;""),Sheet1!B2:B54)</f>
        <v>Grace</v>
      </c>
    </row>
    <row r="10">
      <c r="A10" s="3" t="s">
        <v>91</v>
      </c>
      <c r="E10" s="1" t="str">
        <f>IFERROR(__xludf.DUMMYFUNCTION("FILTER(Sheet1!A2:I54,Sheet1!F2:F54&gt;90)"),"E1009")</f>
        <v>E1009</v>
      </c>
      <c r="F10" s="1" t="str">
        <f>IFERROR(__xludf.DUMMYFUNCTION("""COMPUTED_VALUE"""),"Jack")</f>
        <v>Jack</v>
      </c>
      <c r="G10" s="1" t="str">
        <f>IFERROR(__xludf.DUMMYFUNCTION("""COMPUTED_VALUE"""),"Marketing")</f>
        <v>Marketing</v>
      </c>
      <c r="H10" s="1" t="str">
        <f>IFERROR(__xludf.DUMMYFUNCTION("""COMPUTED_VALUE"""),"Tablet")</f>
        <v>Tablet</v>
      </c>
      <c r="I10" s="1" t="str">
        <f>IFERROR(__xludf.DUMMYFUNCTION("""COMPUTED_VALUE"""),"North")</f>
        <v>North</v>
      </c>
      <c r="J10" s="1">
        <f>IFERROR(__xludf.DUMMYFUNCTION("""COMPUTED_VALUE"""),95.0)</f>
        <v>95</v>
      </c>
      <c r="K10" s="1">
        <f>IFERROR(__xludf.DUMMYFUNCTION("""COMPUTED_VALUE"""),2360.0)</f>
        <v>2360</v>
      </c>
      <c r="L10" s="6">
        <f>IFERROR(__xludf.DUMMYFUNCTION("""COMPUTED_VALUE"""),44936.0)</f>
        <v>44936</v>
      </c>
      <c r="M10" s="1">
        <f>IFERROR(__xludf.DUMMYFUNCTION("""COMPUTED_VALUE"""),224200.0)</f>
        <v>224200</v>
      </c>
    </row>
    <row r="11">
      <c r="A11" s="3" t="s">
        <v>92</v>
      </c>
      <c r="C11" s="1" t="str">
        <f>CHOOSE(2,"Phone","Tablet","Laptop","Monitor")</f>
        <v>Tablet</v>
      </c>
      <c r="E11" s="1" t="str">
        <f>IFERROR(__xludf.DUMMYFUNCTION("""COMPUTED_VALUE"""),"E1042")</f>
        <v>E1042</v>
      </c>
      <c r="F11" s="1" t="str">
        <f>IFERROR(__xludf.DUMMYFUNCTION("""COMPUTED_VALUE"""),"Alice")</f>
        <v>Alice</v>
      </c>
      <c r="G11" s="1" t="str">
        <f>IFERROR(__xludf.DUMMYFUNCTION("""COMPUTED_VALUE"""),"Marketing")</f>
        <v>Marketing</v>
      </c>
      <c r="H11" s="1" t="str">
        <f>IFERROR(__xludf.DUMMYFUNCTION("""COMPUTED_VALUE"""),"Tablet")</f>
        <v>Tablet</v>
      </c>
      <c r="I11" s="1" t="str">
        <f>IFERROR(__xludf.DUMMYFUNCTION("""COMPUTED_VALUE"""),"East")</f>
        <v>East</v>
      </c>
      <c r="J11" s="1">
        <f>IFERROR(__xludf.DUMMYFUNCTION("""COMPUTED_VALUE"""),99.0)</f>
        <v>99</v>
      </c>
      <c r="K11" s="1">
        <f>IFERROR(__xludf.DUMMYFUNCTION("""COMPUTED_VALUE"""),3780.0)</f>
        <v>3780</v>
      </c>
      <c r="L11" s="6">
        <f>IFERROR(__xludf.DUMMYFUNCTION("""COMPUTED_VALUE"""),44969.0)</f>
        <v>44969</v>
      </c>
      <c r="M11" s="1">
        <f>IFERROR(__xludf.DUMMYFUNCTION("""COMPUTED_VALUE"""),374220.0)</f>
        <v>374220</v>
      </c>
    </row>
    <row r="12">
      <c r="A12" s="7" t="s">
        <v>93</v>
      </c>
      <c r="E12" s="1" t="str">
        <f>IFERROR(__xludf.DUMMYFUNCTION("""COMPUTED_VALUE"""),"E1043")</f>
        <v>E1043</v>
      </c>
      <c r="F12" s="1" t="str">
        <f>IFERROR(__xludf.DUMMYFUNCTION("""COMPUTED_VALUE"""),"Jack")</f>
        <v>Jack</v>
      </c>
      <c r="G12" s="1" t="str">
        <f>IFERROR(__xludf.DUMMYFUNCTION("""COMPUTED_VALUE"""),"Finance")</f>
        <v>Finance</v>
      </c>
      <c r="H12" s="1" t="str">
        <f>IFERROR(__xludf.DUMMYFUNCTION("""COMPUTED_VALUE"""),"Phone")</f>
        <v>Phone</v>
      </c>
      <c r="I12" s="1" t="str">
        <f>IFERROR(__xludf.DUMMYFUNCTION("""COMPUTED_VALUE"""),"West")</f>
        <v>West</v>
      </c>
      <c r="J12" s="1">
        <f>IFERROR(__xludf.DUMMYFUNCTION("""COMPUTED_VALUE"""),99.0)</f>
        <v>99</v>
      </c>
      <c r="K12" s="1">
        <f>IFERROR(__xludf.DUMMYFUNCTION("""COMPUTED_VALUE"""),1075.0)</f>
        <v>1075</v>
      </c>
      <c r="L12" s="6">
        <f>IFERROR(__xludf.DUMMYFUNCTION("""COMPUTED_VALUE"""),44970.0)</f>
        <v>44970</v>
      </c>
      <c r="M12" s="1">
        <f>IFERROR(__xludf.DUMMYFUNCTION("""COMPUTED_VALUE"""),106425.0)</f>
        <v>106425</v>
      </c>
    </row>
    <row r="13">
      <c r="A13" s="3" t="s">
        <v>94</v>
      </c>
      <c r="E13" s="1" t="str">
        <f>IFERROR(__xludf.DUMMYFUNCTION("""COMPUTED_VALUE"""),"E1045")</f>
        <v>E1045</v>
      </c>
      <c r="F13" s="1" t="str">
        <f>IFERROR(__xludf.DUMMYFUNCTION("""COMPUTED_VALUE"""),"Frank")</f>
        <v>Frank</v>
      </c>
      <c r="G13" s="1" t="str">
        <f>IFERROR(__xludf.DUMMYFUNCTION("""COMPUTED_VALUE"""),"Finance")</f>
        <v>Finance</v>
      </c>
      <c r="H13" s="1" t="str">
        <f>IFERROR(__xludf.DUMMYFUNCTION("""COMPUTED_VALUE"""),"Keyboard")</f>
        <v>Keyboard</v>
      </c>
      <c r="I13" s="1" t="str">
        <f>IFERROR(__xludf.DUMMYFUNCTION("""COMPUTED_VALUE"""),"North")</f>
        <v>North</v>
      </c>
      <c r="J13" s="1">
        <f>IFERROR(__xludf.DUMMYFUNCTION("""COMPUTED_VALUE"""),97.0)</f>
        <v>97</v>
      </c>
      <c r="K13" s="1">
        <f>IFERROR(__xludf.DUMMYFUNCTION("""COMPUTED_VALUE"""),4983.0)</f>
        <v>4983</v>
      </c>
      <c r="L13" s="6">
        <f>IFERROR(__xludf.DUMMYFUNCTION("""COMPUTED_VALUE"""),44972.0)</f>
        <v>44972</v>
      </c>
      <c r="M13" s="1">
        <f>IFERROR(__xludf.DUMMYFUNCTION("""COMPUTED_VALUE"""),483351.0)</f>
        <v>483351</v>
      </c>
    </row>
    <row r="14">
      <c r="A14" s="3" t="s">
        <v>95</v>
      </c>
      <c r="E14" s="1" t="str">
        <f>IFERROR(__xludf.DUMMYFUNCTION("""COMPUTED_VALUE"""),"E1046")</f>
        <v>E1046</v>
      </c>
      <c r="F14" s="1" t="str">
        <f>IFERROR(__xludf.DUMMYFUNCTION("""COMPUTED_VALUE"""),"David")</f>
        <v>David</v>
      </c>
      <c r="G14" s="1" t="str">
        <f>IFERROR(__xludf.DUMMYFUNCTION("""COMPUTED_VALUE"""),"HR")</f>
        <v>HR</v>
      </c>
      <c r="H14" s="1" t="str">
        <f>IFERROR(__xludf.DUMMYFUNCTION("""COMPUTED_VALUE"""),"Phone")</f>
        <v>Phone</v>
      </c>
      <c r="I14" s="1" t="str">
        <f>IFERROR(__xludf.DUMMYFUNCTION("""COMPUTED_VALUE"""),"West")</f>
        <v>West</v>
      </c>
      <c r="J14" s="1">
        <f>IFERROR(__xludf.DUMMYFUNCTION("""COMPUTED_VALUE"""),94.0)</f>
        <v>94</v>
      </c>
      <c r="K14" s="1">
        <f>IFERROR(__xludf.DUMMYFUNCTION("""COMPUTED_VALUE"""),4591.0)</f>
        <v>4591</v>
      </c>
      <c r="L14" s="6">
        <f>IFERROR(__xludf.DUMMYFUNCTION("""COMPUTED_VALUE"""),44973.0)</f>
        <v>44973</v>
      </c>
      <c r="M14" s="1">
        <f>IFERROR(__xludf.DUMMYFUNCTION("""COMPUTED_VALUE"""),431554.0)</f>
        <v>431554</v>
      </c>
    </row>
    <row r="15">
      <c r="A15" s="3" t="s">
        <v>96</v>
      </c>
    </row>
    <row r="16">
      <c r="A16" s="3" t="s">
        <v>97</v>
      </c>
    </row>
    <row r="17">
      <c r="A17" s="3" t="s">
        <v>98</v>
      </c>
    </row>
    <row r="18">
      <c r="A18" s="3" t="s">
        <v>99</v>
      </c>
    </row>
    <row r="19">
      <c r="A19" s="3" t="s">
        <v>100</v>
      </c>
    </row>
    <row r="20">
      <c r="A20" s="3" t="s">
        <v>101</v>
      </c>
    </row>
    <row r="21">
      <c r="A21" s="3" t="s">
        <v>102</v>
      </c>
    </row>
    <row r="22">
      <c r="A22" s="3" t="s">
        <v>103</v>
      </c>
    </row>
  </sheetData>
  <drawing r:id="rId1"/>
</worksheet>
</file>